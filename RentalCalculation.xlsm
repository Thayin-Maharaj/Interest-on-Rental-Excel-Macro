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workbook.xml" ContentType="application/vnd.ms-excel.sheet.macroEnabled.main+xml"/>
  <Override PartName="/xl/vbaProject.bin" ContentType="application/vnd.ms-office.vbaProject"/>
  <Override PartName="/xl/styles.xml" ContentType="application/vnd.openxmlformats-officedocument.spreadsheetml.styles+xml"/>
  <Override PartName="/xl/worksheets/_rels/sheet2.xml.rels" ContentType="application/vnd.openxmlformats-package.relationship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_rels/.rels" ContentType="application/vnd.openxmlformats-package.relationships+xml"/>
  <Override PartName="/customXml/item1.xml" ContentType="application/xml"/>
  <Override PartName="/customXml/itemProps1.xml" ContentType="application/vnd.openxmlformats-officedocument.customXmlProperties+xml"/>
  <Override PartName="/customXml/item2.xml" ContentType="application/xml"/>
  <Override PartName="/customXml/_rels/item3.xml.rels" ContentType="application/vnd.openxmlformats-package.relationships+xml"/>
  <Override PartName="/customXml/_rels/item2.xml.rels" ContentType="application/vnd.openxmlformats-package.relationships+xml"/>
  <Override PartName="/customXml/_rels/item1.xml.rels" ContentType="application/vnd.openxmlformats-package.relationships+xml"/>
  <Override PartName="/customXml/itemProps2.xml" ContentType="application/vnd.openxmlformats-officedocument.customXmlProperties+xml"/>
  <Override PartName="/customXml/item3.xml" ContentType="application/xml"/>
  <Override PartName="/customXml/itemProps3.xml" ContentType="application/vnd.openxmlformats-officedocument.customXml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5" Type="http://schemas.openxmlformats.org/officeDocument/2006/relationships/customXml" Target="../customXml/item1.xml"/><Relationship Id="rId6" Type="http://schemas.openxmlformats.org/officeDocument/2006/relationships/customXml" Target="../customXml/item2.xml"/><Relationship Id="rId7" Type="http://schemas.openxmlformats.org/officeDocument/2006/relationships/customXml" Target="../customXml/item3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Customer model" sheetId="1" state="visible" r:id="rId3"/>
    <sheet name="Loan model" sheetId="2" state="visible" r:id="rId4"/>
  </sheets>
  <definedNames>
    <definedName function="true" hidden="false" name="InterestCalc.Button1_Click" vbProcedure="true"/>
    <definedName function="true" hidden="false" name="CostCalc.Button2_Click" vbProcedure="true"/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<sst xmlns="http://schemas.openxmlformats.org/spreadsheetml/2006/main" count="30" uniqueCount="16">
  <si>
    <t xml:space="preserve">Company Name</t>
  </si>
  <si>
    <t xml:space="preserve">A</t>
  </si>
  <si>
    <t xml:space="preserve">Start Date</t>
  </si>
  <si>
    <t xml:space="preserve">Number of Periods</t>
  </si>
  <si>
    <t xml:space="preserve">Capital</t>
  </si>
  <si>
    <t xml:space="preserve">Initial Rental Fee</t>
  </si>
  <si>
    <t xml:space="preserve">Escalation</t>
  </si>
  <si>
    <t xml:space="preserve">Interest</t>
  </si>
  <si>
    <t xml:space="preserve">Factor</t>
  </si>
  <si>
    <t xml:space="preserve">Prime</t>
  </si>
  <si>
    <t xml:space="preserve">Prime – Interest</t>
  </si>
  <si>
    <t xml:space="preserve">Period</t>
  </si>
  <si>
    <t xml:space="preserve">Rental</t>
  </si>
  <si>
    <t xml:space="preserve">Balance</t>
  </si>
  <si>
    <t xml:space="preserve">Total Sale</t>
  </si>
  <si>
    <t xml:space="preserve">Total Cost</t>
  </si>
</sst>
</file>

<file path=xl/styles.xml><?xml version="1.0" encoding="utf-8"?>
<styleSheet xmlns="http://schemas.openxmlformats.org/spreadsheetml/2006/main">
  <numFmts count="12">
    <numFmt numFmtId="164" formatCode="General"/>
    <numFmt numFmtId="165" formatCode="_-\R* #,##0.00_-;&quot;-R&quot;* #,##0.00_-;_-\R* \-??_-;_-@_-"/>
    <numFmt numFmtId="166" formatCode="_-[$R-1C09]* #,##0.00_-;\-[$R-1C09]* #,##0.00_-;_-[$R-1C09]* \-??_-;_-@_-"/>
    <numFmt numFmtId="167" formatCode="[$-1C09]dd\ mmmm\ yyyy;@"/>
    <numFmt numFmtId="168" formatCode="\R#,##0.00"/>
    <numFmt numFmtId="169" formatCode="[$R-1C09]\ #,##0.00;[RED][$R-1C09]\-#,##0.00"/>
    <numFmt numFmtId="170" formatCode="0%"/>
    <numFmt numFmtId="171" formatCode="0.0%"/>
    <numFmt numFmtId="172" formatCode="0.00%"/>
    <numFmt numFmtId="173" formatCode="_-* #,##0.00_-;\-* #,##0.00_-;_-* \-??_-;_-@_-"/>
    <numFmt numFmtId="174" formatCode="0.00"/>
    <numFmt numFmtId="175" formatCode="_-[$R-1C09]* #,##0.00_-;\-[$R-1C09]* #,##0.00_-;_-[$R-1C09]* \-??_-;_-@_-"/>
  </numFmts>
  <fonts count="6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rgb="FF000000"/>
      <name val="Calibri"/>
      <family val="2"/>
      <charset val="1"/>
    </font>
    <font>
      <sz val="11"/>
      <color rgb="FF000000"/>
      <name val="Calibri"/>
      <family val="0"/>
      <charset val="1"/>
    </font>
  </fonts>
  <fills count="2">
    <fill>
      <patternFill patternType="none"/>
    </fill>
    <fill>
      <patternFill patternType="gray125"/>
    </fill>
  </fills>
  <borders count="22">
    <border diagonalUp="false" diagonalDown="false">
      <left/>
      <right/>
      <top/>
      <bottom/>
      <diagonal/>
    </border>
    <border diagonalUp="false" diagonalDown="false">
      <left style="hair"/>
      <right/>
      <top style="hair"/>
      <bottom/>
      <diagonal/>
    </border>
    <border diagonalUp="false" diagonalDown="false">
      <left/>
      <right style="hair"/>
      <top style="hair"/>
      <bottom/>
      <diagonal/>
    </border>
    <border diagonalUp="false" diagonalDown="false">
      <left style="hair"/>
      <right/>
      <top/>
      <bottom/>
      <diagonal/>
    </border>
    <border diagonalUp="false" diagonalDown="false">
      <left/>
      <right style="hair"/>
      <top/>
      <bottom/>
      <diagonal/>
    </border>
    <border diagonalUp="false" diagonalDown="false">
      <left style="medium"/>
      <right/>
      <top style="medium"/>
      <bottom/>
      <diagonal/>
    </border>
    <border diagonalUp="false" diagonalDown="false">
      <left/>
      <right style="medium"/>
      <top style="medium"/>
      <bottom/>
      <diagonal/>
    </border>
    <border diagonalUp="false" diagonalDown="false">
      <left style="hair"/>
      <right/>
      <top/>
      <bottom style="hair"/>
      <diagonal/>
    </border>
    <border diagonalUp="false" diagonalDown="false">
      <left/>
      <right style="hair"/>
      <top/>
      <bottom style="hair"/>
      <diagonal/>
    </border>
    <border diagonalUp="false" diagonalDown="false">
      <left style="medium"/>
      <right/>
      <top/>
      <bottom/>
      <diagonal/>
    </border>
    <border diagonalUp="false" diagonalDown="false">
      <left/>
      <right style="medium"/>
      <top/>
      <bottom/>
      <diagonal/>
    </border>
    <border diagonalUp="false" diagonalDown="false">
      <left style="hair"/>
      <right/>
      <top style="hair"/>
      <bottom style="hair"/>
      <diagonal/>
    </border>
    <border diagonalUp="false" diagonalDown="false">
      <left style="medium"/>
      <right/>
      <top/>
      <bottom style="medium"/>
      <diagonal/>
    </border>
    <border diagonalUp="false" diagonalDown="false">
      <left/>
      <right style="medium"/>
      <top/>
      <bottom style="medium"/>
      <diagonal/>
    </border>
    <border diagonalUp="false" diagonalDown="false">
      <left style="medium"/>
      <right/>
      <top style="medium"/>
      <bottom style="medium"/>
      <diagonal/>
    </border>
    <border diagonalUp="false" diagonalDown="false">
      <left/>
      <right style="medium"/>
      <top style="medium"/>
      <bottom style="medium"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/>
      <top/>
      <bottom/>
      <diagonal/>
    </border>
    <border diagonalUp="false" diagonalDown="false">
      <left/>
      <right style="thin"/>
      <top/>
      <bottom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 style="thin"/>
      <top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173" fontId="0" fillId="0" borderId="0" applyFont="true" applyBorder="false" applyAlignment="true" applyProtection="false">
      <alignment horizontal="general" vertical="bottom" textRotation="0" wrapText="false" indent="0" shrinkToFit="false"/>
    </xf>
    <xf numFmtId="41" fontId="1" fillId="0" borderId="0" applyFont="true" applyBorder="false" applyAlignment="false" applyProtection="false"/>
    <xf numFmtId="165" fontId="0" fillId="0" borderId="0" applyFont="true" applyBorder="false" applyAlignment="true" applyProtection="false">
      <alignment horizontal="general" vertical="bottom" textRotation="0" wrapText="false" indent="0" shrinkToFit="false"/>
    </xf>
    <xf numFmtId="42" fontId="1" fillId="0" borderId="0" applyFont="true" applyBorder="false" applyAlignment="false" applyProtection="false"/>
    <xf numFmtId="170" fontId="0" fillId="0" borderId="0" applyFont="true" applyBorder="false" applyAlignment="true" applyProtection="false">
      <alignment horizontal="general" vertical="bottom" textRotation="0" wrapText="false" indent="0" shrinkToFit="false"/>
    </xf>
  </cellStyleXfs>
  <cellXfs count="4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0" fillId="0" borderId="0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4" xfId="0" applyFont="fals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4" xfId="0" applyFont="false" applyBorder="true" applyAlignment="true" applyProtection="false">
      <alignment horizontal="right" vertical="bottom" textRotation="0" wrapText="false" indent="0" shrinkToFit="false"/>
      <protection locked="true" hidden="false"/>
    </xf>
    <xf numFmtId="168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9" fontId="0" fillId="0" borderId="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1" fontId="0" fillId="0" borderId="8" xfId="19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2" fontId="0" fillId="0" borderId="1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2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2" fontId="0" fillId="0" borderId="1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1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0" fillId="0" borderId="15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3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17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7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3" fontId="0" fillId="0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2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7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1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19" xfId="0" applyFont="fals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19" xfId="0" applyFont="false" applyBorder="true" applyAlignment="true" applyProtection="false">
      <alignment horizontal="right" vertical="bottom" textRotation="0" wrapText="false" indent="0" shrinkToFit="false"/>
      <protection locked="true" hidden="false"/>
    </xf>
    <xf numFmtId="168" fontId="0" fillId="0" borderId="19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1" fontId="0" fillId="0" borderId="19" xfId="19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0" fillId="0" borderId="1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0" fontId="0" fillId="0" borderId="2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1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0" name="Button 1" descr="Calculate Interest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Calculate Interest</a:t>
              </a:r>
            </a:p>
          </xdr:txBody>
        </xdr:sp>
        <xdr:clientData/>
      </xdr:twoCellAnchor>
    </mc:Choice>
  </mc:AlternateContent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0" name="Button 7" descr="Calculate Interest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Calculate Interest</a:t>
              </a:r>
            </a:p>
          </xdr:txBody>
        </xdr:sp>
        <xdr:clientData/>
      </xdr:twoCellAnchor>
    </mc:Choice>
  </mc:AlternateContent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U120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F18" activeCellId="0" sqref="F18"/>
    </sheetView>
  </sheetViews>
  <sheetFormatPr defaultColWidth="8.57421875" defaultRowHeight="15" zeroHeight="false" outlineLevelRow="0" outlineLevelCol="0"/>
  <cols>
    <col collapsed="false" customWidth="true" hidden="false" outlineLevel="0" max="1" min="1" style="0" width="18"/>
    <col collapsed="false" customWidth="true" hidden="false" outlineLevel="0" max="2" min="2" style="1" width="16.28"/>
    <col collapsed="false" customWidth="true" hidden="false" outlineLevel="0" max="3" min="3" style="0" width="15.71"/>
    <col collapsed="false" customWidth="true" hidden="false" outlineLevel="0" max="4" min="4" style="0" width="17.14"/>
    <col collapsed="false" customWidth="true" hidden="false" outlineLevel="0" max="5" min="5" style="0" width="17"/>
    <col collapsed="false" customWidth="true" hidden="false" outlineLevel="0" max="6" min="6" style="0" width="17.14"/>
    <col collapsed="false" customWidth="true" hidden="false" outlineLevel="0" max="8" min="7" style="0" width="20.71"/>
    <col collapsed="false" customWidth="true" hidden="false" outlineLevel="0" max="11" min="11" style="0" width="11.57"/>
    <col collapsed="false" customWidth="true" hidden="false" outlineLevel="0" max="13" min="13" style="0" width="10.57"/>
    <col collapsed="false" customWidth="true" hidden="false" outlineLevel="0" max="17" min="17" style="0" width="9.57"/>
    <col collapsed="false" customWidth="true" hidden="false" outlineLevel="0" max="20" min="19" style="0" width="12.28"/>
    <col collapsed="false" customWidth="true" hidden="false" outlineLevel="0" max="21" min="21" style="0" width="11"/>
  </cols>
  <sheetData>
    <row r="1" customFormat="false" ht="15" hidden="false" customHeight="false" outlineLevel="0" collapsed="false">
      <c r="A1" s="2" t="s">
        <v>0</v>
      </c>
      <c r="B1" s="3" t="s">
        <v>1</v>
      </c>
      <c r="H1" s="4"/>
    </row>
    <row r="2" customFormat="false" ht="15" hidden="false" customHeight="false" outlineLevel="0" collapsed="false">
      <c r="A2" s="5" t="s">
        <v>2</v>
      </c>
      <c r="B2" s="6" t="n">
        <v>44256</v>
      </c>
    </row>
    <row r="3" customFormat="false" ht="15.75" hidden="false" customHeight="false" outlineLevel="0" collapsed="false">
      <c r="A3" s="5" t="s">
        <v>3</v>
      </c>
      <c r="B3" s="7" t="n">
        <v>36</v>
      </c>
    </row>
    <row r="4" customFormat="false" ht="15" hidden="false" customHeight="false" outlineLevel="0" collapsed="false">
      <c r="A4" s="5" t="s">
        <v>4</v>
      </c>
      <c r="B4" s="8" t="n">
        <v>10000</v>
      </c>
      <c r="E4" s="9" t="s">
        <v>5</v>
      </c>
      <c r="F4" s="10" t="n">
        <f aca="false">B4*B6+0.01</f>
        <v>858.155997064904</v>
      </c>
    </row>
    <row r="5" customFormat="false" ht="15" hidden="false" customHeight="false" outlineLevel="0" collapsed="false">
      <c r="A5" s="11" t="s">
        <v>6</v>
      </c>
      <c r="B5" s="12" t="n">
        <v>0.15</v>
      </c>
      <c r="D5" s="13"/>
      <c r="E5" s="14" t="s">
        <v>7</v>
      </c>
      <c r="F5" s="15" t="n">
        <v>1.04283918723464</v>
      </c>
    </row>
    <row r="6" customFormat="false" ht="15" hidden="false" customHeight="false" outlineLevel="0" collapsed="false">
      <c r="A6" s="16" t="s">
        <v>8</v>
      </c>
      <c r="B6" s="1" t="n">
        <v>0.0858145997064904</v>
      </c>
      <c r="D6" s="13"/>
      <c r="E6" s="14" t="s">
        <v>9</v>
      </c>
      <c r="F6" s="15" t="n">
        <v>0.07</v>
      </c>
    </row>
    <row r="7" customFormat="false" ht="15.75" hidden="false" customHeight="false" outlineLevel="0" collapsed="false">
      <c r="A7" s="17"/>
      <c r="B7" s="18"/>
      <c r="E7" s="19" t="s">
        <v>10</v>
      </c>
      <c r="F7" s="20" t="n">
        <f aca="false">F5-F6</f>
        <v>0.972839187234638</v>
      </c>
    </row>
    <row r="8" customFormat="false" ht="13.8" hidden="false" customHeight="false" outlineLevel="0" collapsed="false">
      <c r="A8" s="21" t="s">
        <v>11</v>
      </c>
      <c r="B8" s="21" t="s">
        <v>12</v>
      </c>
      <c r="C8" s="21" t="s">
        <v>7</v>
      </c>
      <c r="D8" s="21" t="s">
        <v>13</v>
      </c>
      <c r="E8" s="22" t="s">
        <v>14</v>
      </c>
      <c r="F8" s="23" t="n">
        <f aca="false">SUM(B9:B120)</f>
        <v>129215.359751619</v>
      </c>
      <c r="H8" s="24"/>
    </row>
    <row r="9" customFormat="false" ht="13.8" hidden="false" customHeight="false" outlineLevel="0" collapsed="false">
      <c r="A9" s="0" t="n">
        <v>1</v>
      </c>
      <c r="B9" s="25" t="n">
        <v>3100.92056039403</v>
      </c>
      <c r="C9" s="25" t="n">
        <v>3140.24950256031</v>
      </c>
      <c r="D9" s="25" t="n">
        <v>36174.33</v>
      </c>
    </row>
    <row r="10" customFormat="false" ht="13.8" hidden="false" customHeight="false" outlineLevel="0" collapsed="false">
      <c r="A10" s="0" t="n">
        <v>2</v>
      </c>
      <c r="B10" s="25" t="n">
        <v>3100.92056039403</v>
      </c>
      <c r="C10" s="25" t="n">
        <v>3143.66740799647</v>
      </c>
      <c r="D10" s="25" t="n">
        <v>36217.08</v>
      </c>
      <c r="G10" s="25"/>
      <c r="K10" s="26"/>
    </row>
    <row r="11" customFormat="false" ht="13.8" hidden="false" customHeight="false" outlineLevel="0" collapsed="false">
      <c r="A11" s="0" t="n">
        <v>3</v>
      </c>
      <c r="B11" s="25" t="n">
        <v>3100.92056039403</v>
      </c>
      <c r="C11" s="25" t="n">
        <v>3147.38252260099</v>
      </c>
      <c r="D11" s="25" t="n">
        <v>36263.54</v>
      </c>
      <c r="G11" s="24"/>
      <c r="K11" s="26"/>
      <c r="Q11" s="24"/>
      <c r="R11" s="26"/>
      <c r="S11" s="26"/>
      <c r="T11" s="26"/>
      <c r="U11" s="24"/>
    </row>
    <row r="12" customFormat="false" ht="13.8" hidden="false" customHeight="false" outlineLevel="0" collapsed="false">
      <c r="A12" s="0" t="n">
        <v>4</v>
      </c>
      <c r="B12" s="25" t="n">
        <v>3100.92056039403</v>
      </c>
      <c r="C12" s="25" t="n">
        <v>3151.4200483209</v>
      </c>
      <c r="D12" s="25" t="n">
        <v>36314.04</v>
      </c>
      <c r="G12" s="24"/>
      <c r="K12" s="26"/>
    </row>
    <row r="13" customFormat="false" ht="13.8" hidden="false" customHeight="false" outlineLevel="0" collapsed="false">
      <c r="A13" s="0" t="n">
        <v>5</v>
      </c>
      <c r="B13" s="25" t="n">
        <v>3100.92056039403</v>
      </c>
      <c r="C13" s="25" t="n">
        <v>3155.80866323385</v>
      </c>
      <c r="D13" s="25" t="n">
        <v>36368.93</v>
      </c>
      <c r="E13" s="27"/>
      <c r="H13" s="28"/>
      <c r="K13" s="26"/>
      <c r="M13" s="24"/>
    </row>
    <row r="14" customFormat="false" ht="13.8" hidden="false" customHeight="false" outlineLevel="0" collapsed="false">
      <c r="A14" s="0" t="n">
        <v>6</v>
      </c>
      <c r="B14" s="25" t="n">
        <v>3100.92056039403</v>
      </c>
      <c r="C14" s="25" t="n">
        <v>3160.57878348279</v>
      </c>
      <c r="D14" s="25" t="n">
        <v>36428.59</v>
      </c>
      <c r="K14" s="26"/>
    </row>
    <row r="15" customFormat="false" ht="13.8" hidden="false" customHeight="false" outlineLevel="0" collapsed="false">
      <c r="A15" s="0" t="n">
        <v>7</v>
      </c>
      <c r="B15" s="25" t="n">
        <v>3100.92056039403</v>
      </c>
      <c r="C15" s="25" t="n">
        <v>3165.76343230866</v>
      </c>
      <c r="D15" s="25" t="n">
        <v>36493.43</v>
      </c>
      <c r="K15" s="26"/>
    </row>
    <row r="16" customFormat="false" ht="13.8" hidden="false" customHeight="false" outlineLevel="0" collapsed="false">
      <c r="A16" s="0" t="n">
        <v>8</v>
      </c>
      <c r="B16" s="25" t="n">
        <v>3100.92056039403</v>
      </c>
      <c r="C16" s="25" t="n">
        <v>3171.39824005035</v>
      </c>
      <c r="D16" s="25" t="n">
        <v>36563.91</v>
      </c>
      <c r="K16" s="29"/>
      <c r="M16" s="24"/>
    </row>
    <row r="17" customFormat="false" ht="13.8" hidden="false" customHeight="false" outlineLevel="0" collapsed="false">
      <c r="A17" s="0" t="n">
        <v>9</v>
      </c>
      <c r="B17" s="25" t="n">
        <v>3100.92056039403</v>
      </c>
      <c r="C17" s="25" t="n">
        <v>3177.52318221004</v>
      </c>
      <c r="D17" s="25" t="n">
        <v>36640.51</v>
      </c>
    </row>
    <row r="18" customFormat="false" ht="13.8" hidden="false" customHeight="false" outlineLevel="0" collapsed="false">
      <c r="A18" s="0" t="n">
        <v>10</v>
      </c>
      <c r="B18" s="25" t="n">
        <v>3100.92056039403</v>
      </c>
      <c r="C18" s="25" t="n">
        <v>3184.17997235522</v>
      </c>
      <c r="D18" s="25" t="n">
        <v>36723.77</v>
      </c>
    </row>
    <row r="19" customFormat="false" ht="13.8" hidden="false" customHeight="false" outlineLevel="0" collapsed="false">
      <c r="A19" s="0" t="n">
        <v>11</v>
      </c>
      <c r="B19" s="25" t="n">
        <v>3100.92056039403</v>
      </c>
      <c r="C19" s="25" t="n">
        <v>3191.41553824932</v>
      </c>
      <c r="D19" s="25" t="n">
        <v>36814.26</v>
      </c>
    </row>
    <row r="20" customFormat="false" ht="13.8" hidden="false" customHeight="false" outlineLevel="0" collapsed="false">
      <c r="A20" s="0" t="n">
        <v>12</v>
      </c>
      <c r="B20" s="25" t="n">
        <v>3100.92056039403</v>
      </c>
      <c r="C20" s="25" t="n">
        <v>3199.27941475372</v>
      </c>
      <c r="D20" s="25" t="n">
        <v>36912.62</v>
      </c>
    </row>
    <row r="21" customFormat="false" ht="13.8" hidden="false" customHeight="false" outlineLevel="0" collapsed="false">
      <c r="A21" s="0" t="n">
        <v>13</v>
      </c>
      <c r="B21" s="25" t="n">
        <v>3566.05864445313</v>
      </c>
      <c r="C21" s="25" t="n">
        <v>3207.82721995842</v>
      </c>
      <c r="D21" s="25" t="n">
        <v>36554.39</v>
      </c>
    </row>
    <row r="22" customFormat="false" ht="13.8" hidden="false" customHeight="false" outlineLevel="0" collapsed="false">
      <c r="A22" s="0" t="n">
        <v>14</v>
      </c>
      <c r="B22" s="25" t="n">
        <v>3566.05864445313</v>
      </c>
      <c r="C22" s="25" t="n">
        <v>3176.6958631215</v>
      </c>
      <c r="D22" s="25" t="n">
        <v>36165.03</v>
      </c>
    </row>
    <row r="23" customFormat="false" ht="13.8" hidden="false" customHeight="false" outlineLevel="0" collapsed="false">
      <c r="A23" s="0" t="n">
        <v>15</v>
      </c>
      <c r="B23" s="25" t="n">
        <v>3566.05864445313</v>
      </c>
      <c r="C23" s="25" t="n">
        <v>3142.85920762636</v>
      </c>
      <c r="D23" s="25" t="n">
        <v>35741.83</v>
      </c>
    </row>
    <row r="24" customFormat="false" ht="13.8" hidden="false" customHeight="false" outlineLevel="0" collapsed="false">
      <c r="A24" s="0" t="n">
        <v>16</v>
      </c>
      <c r="B24" s="25" t="n">
        <v>3566.05864445313</v>
      </c>
      <c r="C24" s="25" t="n">
        <v>3106.08174562322</v>
      </c>
      <c r="D24" s="25" t="n">
        <v>35281.85</v>
      </c>
    </row>
    <row r="25" customFormat="false" ht="13.8" hidden="false" customHeight="false" outlineLevel="0" collapsed="false">
      <c r="A25" s="0" t="n">
        <v>17</v>
      </c>
      <c r="B25" s="25" t="n">
        <v>3566.05864445313</v>
      </c>
      <c r="C25" s="25" t="n">
        <v>3066.1079815112</v>
      </c>
      <c r="D25" s="25" t="n">
        <v>34781.9</v>
      </c>
      <c r="N25" s="26"/>
    </row>
    <row r="26" customFormat="false" ht="15" hidden="false" customHeight="false" outlineLevel="0" collapsed="false">
      <c r="A26" s="0" t="n">
        <v>18</v>
      </c>
      <c r="B26" s="25" t="n">
        <v>3566.05864445313</v>
      </c>
      <c r="C26" s="25" t="n">
        <v>3022.66069387304</v>
      </c>
      <c r="D26" s="25" t="n">
        <v>34238.5</v>
      </c>
    </row>
    <row r="27" customFormat="false" ht="15" hidden="false" customHeight="false" outlineLevel="0" collapsed="false">
      <c r="A27" s="0" t="n">
        <v>19</v>
      </c>
      <c r="B27" s="25" t="n">
        <v>3566.05864445313</v>
      </c>
      <c r="C27" s="25" t="n">
        <v>2975.43745934443</v>
      </c>
      <c r="D27" s="25" t="n">
        <v>33647.88</v>
      </c>
    </row>
    <row r="28" customFormat="false" ht="15" hidden="false" customHeight="false" outlineLevel="0" collapsed="false">
      <c r="A28" s="0" t="n">
        <v>20</v>
      </c>
      <c r="B28" s="25" t="n">
        <v>3566.05864445313</v>
      </c>
      <c r="C28" s="25" t="n">
        <v>2924.11065261405</v>
      </c>
      <c r="D28" s="25" t="n">
        <v>33005.93</v>
      </c>
    </row>
    <row r="29" customFormat="false" ht="15" hidden="false" customHeight="false" outlineLevel="0" collapsed="false">
      <c r="A29" s="0" t="n">
        <v>21</v>
      </c>
      <c r="B29" s="25" t="n">
        <v>3566.05864445313</v>
      </c>
      <c r="C29" s="25" t="n">
        <v>2868.32310126028</v>
      </c>
      <c r="D29" s="25" t="n">
        <v>32308.19</v>
      </c>
    </row>
    <row r="30" customFormat="false" ht="15" hidden="false" customHeight="false" outlineLevel="0" collapsed="false">
      <c r="A30" s="0" t="n">
        <v>22</v>
      </c>
      <c r="B30" s="25" t="n">
        <v>3566.05864445313</v>
      </c>
      <c r="C30" s="25" t="n">
        <v>2807.68721671852</v>
      </c>
      <c r="D30" s="25" t="n">
        <v>31549.82</v>
      </c>
    </row>
    <row r="31" customFormat="false" ht="15" hidden="false" customHeight="false" outlineLevel="0" collapsed="false">
      <c r="A31" s="0" t="n">
        <v>23</v>
      </c>
      <c r="B31" s="25" t="n">
        <v>3566.05864445313</v>
      </c>
      <c r="C31" s="25" t="n">
        <v>2741.78238718326</v>
      </c>
      <c r="D31" s="25" t="n">
        <v>30725.54</v>
      </c>
    </row>
    <row r="32" customFormat="false" ht="15" hidden="false" customHeight="false" outlineLevel="0" collapsed="false">
      <c r="A32" s="0" t="n">
        <v>24</v>
      </c>
      <c r="B32" s="25" t="n">
        <v>3566.05864445313</v>
      </c>
      <c r="C32" s="25" t="n">
        <v>2670.14976341211</v>
      </c>
      <c r="D32" s="25" t="n">
        <v>29829.63</v>
      </c>
    </row>
    <row r="33" customFormat="false" ht="15" hidden="false" customHeight="false" outlineLevel="0" collapsed="false">
      <c r="A33" s="0" t="n">
        <v>25</v>
      </c>
      <c r="B33" s="25" t="n">
        <v>4100.96744112111</v>
      </c>
      <c r="C33" s="25" t="n">
        <v>2592.29225872583</v>
      </c>
      <c r="D33" s="25" t="n">
        <v>28320.95</v>
      </c>
    </row>
    <row r="34" customFormat="false" ht="15" hidden="false" customHeight="false" outlineLevel="0" collapsed="false">
      <c r="A34" s="0" t="n">
        <v>26</v>
      </c>
      <c r="B34" s="25" t="n">
        <v>4100.96744112111</v>
      </c>
      <c r="C34" s="25" t="n">
        <v>2461.18303997607</v>
      </c>
      <c r="D34" s="25" t="n">
        <v>26681.17</v>
      </c>
    </row>
    <row r="35" customFormat="false" ht="15" hidden="false" customHeight="false" outlineLevel="0" collapsed="false">
      <c r="A35" s="0" t="n">
        <v>27</v>
      </c>
      <c r="B35" s="25" t="n">
        <v>4100.96744112111</v>
      </c>
      <c r="C35" s="25" t="n">
        <v>2318.68080310577</v>
      </c>
      <c r="D35" s="25" t="n">
        <v>24898.88</v>
      </c>
    </row>
    <row r="36" customFormat="false" ht="15" hidden="false" customHeight="false" outlineLevel="0" collapsed="false">
      <c r="A36" s="0" t="n">
        <v>28</v>
      </c>
      <c r="B36" s="25" t="n">
        <v>4100.96744112111</v>
      </c>
      <c r="C36" s="25" t="n">
        <v>2163.7939818544</v>
      </c>
      <c r="D36" s="25" t="n">
        <v>22961.71</v>
      </c>
    </row>
    <row r="37" customFormat="false" ht="15" hidden="false" customHeight="false" outlineLevel="0" collapsed="false">
      <c r="A37" s="0" t="n">
        <v>29</v>
      </c>
      <c r="B37" s="25" t="n">
        <v>4100.96744112111</v>
      </c>
      <c r="C37" s="25" t="n">
        <v>1995.44758282646</v>
      </c>
      <c r="D37" s="25" t="n">
        <v>20856.19</v>
      </c>
    </row>
    <row r="38" customFormat="false" ht="15" hidden="false" customHeight="false" outlineLevel="0" collapsed="false">
      <c r="A38" s="0" t="n">
        <v>30</v>
      </c>
      <c r="B38" s="25" t="n">
        <v>4100.96744112111</v>
      </c>
      <c r="C38" s="25" t="n">
        <v>1812.47101903427</v>
      </c>
      <c r="D38" s="25" t="n">
        <v>18567.69</v>
      </c>
    </row>
    <row r="39" customFormat="false" ht="15" hidden="false" customHeight="false" outlineLevel="0" collapsed="false">
      <c r="A39" s="0" t="n">
        <v>31</v>
      </c>
      <c r="B39" s="25" t="n">
        <v>4100.96744112111</v>
      </c>
      <c r="C39" s="25" t="n">
        <v>1613.59289570206</v>
      </c>
      <c r="D39" s="25" t="n">
        <v>16080.32</v>
      </c>
    </row>
    <row r="40" customFormat="false" ht="15" hidden="false" customHeight="false" outlineLevel="0" collapsed="false">
      <c r="A40" s="0" t="n">
        <v>32</v>
      </c>
      <c r="B40" s="25" t="n">
        <v>4100.96744112111</v>
      </c>
      <c r="C40" s="25" t="n">
        <v>1397.43231993941</v>
      </c>
      <c r="D40" s="25" t="n">
        <v>13376.78</v>
      </c>
    </row>
    <row r="41" customFormat="false" ht="15" hidden="false" customHeight="false" outlineLevel="0" collapsed="false">
      <c r="A41" s="0" t="n">
        <v>33</v>
      </c>
      <c r="B41" s="25" t="n">
        <v>4100.96744112111</v>
      </c>
      <c r="C41" s="25" t="n">
        <v>1162.48586525138</v>
      </c>
      <c r="D41" s="25" t="n">
        <v>10438.3</v>
      </c>
    </row>
    <row r="42" customFormat="false" ht="15" hidden="false" customHeight="false" outlineLevel="0" collapsed="false">
      <c r="A42" s="0" t="n">
        <v>34</v>
      </c>
      <c r="B42" s="25" t="n">
        <v>4100.96744112111</v>
      </c>
      <c r="C42" s="25" t="n">
        <v>907.12235734261</v>
      </c>
      <c r="D42" s="25" t="n">
        <v>7244.46</v>
      </c>
    </row>
    <row r="43" customFormat="false" ht="15" hidden="false" customHeight="false" outlineLevel="0" collapsed="false">
      <c r="A43" s="0" t="n">
        <v>35</v>
      </c>
      <c r="B43" s="25" t="n">
        <v>4100.96744112111</v>
      </c>
      <c r="C43" s="25" t="n">
        <v>629.567231529487</v>
      </c>
      <c r="D43" s="25" t="n">
        <v>3773.06</v>
      </c>
    </row>
    <row r="44" customFormat="false" ht="15" hidden="false" customHeight="false" outlineLevel="0" collapsed="false">
      <c r="A44" s="0" t="n">
        <v>36</v>
      </c>
      <c r="B44" s="25" t="n">
        <v>4100.96744112111</v>
      </c>
      <c r="C44" s="25" t="n">
        <v>327.891235315627</v>
      </c>
      <c r="D44" s="25" t="n">
        <v>-0.02</v>
      </c>
    </row>
    <row r="45" customFormat="false" ht="15" hidden="false" customHeight="false" outlineLevel="0" collapsed="false">
      <c r="B45" s="25"/>
      <c r="C45" s="25"/>
      <c r="D45" s="25"/>
    </row>
    <row r="46" customFormat="false" ht="15" hidden="false" customHeight="false" outlineLevel="0" collapsed="false">
      <c r="B46" s="25"/>
      <c r="C46" s="25"/>
      <c r="D46" s="25"/>
    </row>
    <row r="47" customFormat="false" ht="15" hidden="false" customHeight="false" outlineLevel="0" collapsed="false">
      <c r="B47" s="25"/>
      <c r="C47" s="25"/>
      <c r="D47" s="25"/>
    </row>
    <row r="48" customFormat="false" ht="15" hidden="false" customHeight="false" outlineLevel="0" collapsed="false">
      <c r="B48" s="25"/>
      <c r="C48" s="25"/>
      <c r="D48" s="25"/>
    </row>
    <row r="49" customFormat="false" ht="15" hidden="false" customHeight="false" outlineLevel="0" collapsed="false">
      <c r="B49" s="25"/>
      <c r="C49" s="25"/>
      <c r="D49" s="25"/>
    </row>
    <row r="50" customFormat="false" ht="15" hidden="false" customHeight="false" outlineLevel="0" collapsed="false">
      <c r="B50" s="25"/>
      <c r="C50" s="25"/>
      <c r="D50" s="25"/>
    </row>
    <row r="51" customFormat="false" ht="15" hidden="false" customHeight="false" outlineLevel="0" collapsed="false">
      <c r="B51" s="25"/>
      <c r="C51" s="25"/>
      <c r="D51" s="25"/>
    </row>
    <row r="52" customFormat="false" ht="15" hidden="false" customHeight="false" outlineLevel="0" collapsed="false">
      <c r="B52" s="25"/>
      <c r="C52" s="25"/>
      <c r="D52" s="25"/>
    </row>
    <row r="53" customFormat="false" ht="15" hidden="false" customHeight="false" outlineLevel="0" collapsed="false">
      <c r="B53" s="25"/>
      <c r="C53" s="25"/>
      <c r="D53" s="25"/>
    </row>
    <row r="54" customFormat="false" ht="15" hidden="false" customHeight="false" outlineLevel="0" collapsed="false">
      <c r="B54" s="25"/>
      <c r="C54" s="25"/>
      <c r="D54" s="25"/>
    </row>
    <row r="55" customFormat="false" ht="15" hidden="false" customHeight="false" outlineLevel="0" collapsed="false">
      <c r="B55" s="25"/>
      <c r="C55" s="25"/>
      <c r="D55" s="25"/>
    </row>
    <row r="56" customFormat="false" ht="15" hidden="false" customHeight="false" outlineLevel="0" collapsed="false">
      <c r="B56" s="25"/>
      <c r="C56" s="25"/>
      <c r="D56" s="25"/>
    </row>
    <row r="57" customFormat="false" ht="15" hidden="false" customHeight="false" outlineLevel="0" collapsed="false">
      <c r="B57" s="25"/>
      <c r="C57" s="25"/>
      <c r="D57" s="25"/>
    </row>
    <row r="58" customFormat="false" ht="15" hidden="false" customHeight="false" outlineLevel="0" collapsed="false">
      <c r="B58" s="25"/>
      <c r="C58" s="25"/>
      <c r="D58" s="25"/>
    </row>
    <row r="59" customFormat="false" ht="15" hidden="false" customHeight="false" outlineLevel="0" collapsed="false">
      <c r="B59" s="25"/>
      <c r="C59" s="25"/>
      <c r="D59" s="25"/>
    </row>
    <row r="60" customFormat="false" ht="15" hidden="false" customHeight="false" outlineLevel="0" collapsed="false">
      <c r="B60" s="25"/>
      <c r="C60" s="25"/>
      <c r="D60" s="25"/>
    </row>
    <row r="61" customFormat="false" ht="15" hidden="false" customHeight="false" outlineLevel="0" collapsed="false">
      <c r="B61" s="25"/>
      <c r="C61" s="25"/>
      <c r="D61" s="25"/>
    </row>
    <row r="62" customFormat="false" ht="15" hidden="false" customHeight="false" outlineLevel="0" collapsed="false">
      <c r="B62" s="25"/>
      <c r="C62" s="25"/>
      <c r="D62" s="25"/>
    </row>
    <row r="63" customFormat="false" ht="15" hidden="false" customHeight="false" outlineLevel="0" collapsed="false">
      <c r="B63" s="25"/>
      <c r="C63" s="25"/>
      <c r="D63" s="25"/>
    </row>
    <row r="64" customFormat="false" ht="15" hidden="false" customHeight="false" outlineLevel="0" collapsed="false">
      <c r="B64" s="25"/>
      <c r="C64" s="25"/>
      <c r="D64" s="25"/>
    </row>
    <row r="65" customFormat="false" ht="15" hidden="false" customHeight="false" outlineLevel="0" collapsed="false">
      <c r="B65" s="25"/>
      <c r="C65" s="25"/>
      <c r="D65" s="25"/>
    </row>
    <row r="66" customFormat="false" ht="15" hidden="false" customHeight="false" outlineLevel="0" collapsed="false">
      <c r="B66" s="25"/>
      <c r="C66" s="25"/>
      <c r="D66" s="25"/>
    </row>
    <row r="67" customFormat="false" ht="15" hidden="false" customHeight="false" outlineLevel="0" collapsed="false">
      <c r="B67" s="25"/>
      <c r="C67" s="25"/>
      <c r="D67" s="25"/>
    </row>
    <row r="68" customFormat="false" ht="15" hidden="false" customHeight="false" outlineLevel="0" collapsed="false">
      <c r="B68" s="25"/>
      <c r="C68" s="25"/>
      <c r="D68" s="25"/>
    </row>
    <row r="69" customFormat="false" ht="15" hidden="false" customHeight="false" outlineLevel="0" collapsed="false">
      <c r="B69" s="25"/>
      <c r="C69" s="25"/>
      <c r="D69" s="25"/>
    </row>
    <row r="70" customFormat="false" ht="15" hidden="false" customHeight="false" outlineLevel="0" collapsed="false">
      <c r="B70" s="25"/>
      <c r="C70" s="25"/>
      <c r="D70" s="25"/>
    </row>
    <row r="71" customFormat="false" ht="15" hidden="false" customHeight="false" outlineLevel="0" collapsed="false">
      <c r="B71" s="25"/>
      <c r="C71" s="25"/>
      <c r="D71" s="25"/>
    </row>
    <row r="72" customFormat="false" ht="15" hidden="false" customHeight="false" outlineLevel="0" collapsed="false">
      <c r="B72" s="25"/>
      <c r="C72" s="25"/>
      <c r="D72" s="25"/>
    </row>
    <row r="73" customFormat="false" ht="15" hidden="false" customHeight="false" outlineLevel="0" collapsed="false">
      <c r="B73" s="25"/>
      <c r="C73" s="25"/>
      <c r="D73" s="25"/>
    </row>
    <row r="74" customFormat="false" ht="15" hidden="false" customHeight="false" outlineLevel="0" collapsed="false">
      <c r="B74" s="25"/>
      <c r="C74" s="25"/>
      <c r="D74" s="25"/>
    </row>
    <row r="75" customFormat="false" ht="15" hidden="false" customHeight="false" outlineLevel="0" collapsed="false">
      <c r="B75" s="25"/>
      <c r="C75" s="25"/>
      <c r="D75" s="25"/>
    </row>
    <row r="76" customFormat="false" ht="15" hidden="false" customHeight="false" outlineLevel="0" collapsed="false">
      <c r="B76" s="25"/>
      <c r="C76" s="25"/>
      <c r="D76" s="25"/>
    </row>
    <row r="77" customFormat="false" ht="15" hidden="false" customHeight="false" outlineLevel="0" collapsed="false">
      <c r="B77" s="25"/>
      <c r="C77" s="25"/>
      <c r="D77" s="25"/>
    </row>
    <row r="78" customFormat="false" ht="15" hidden="false" customHeight="false" outlineLevel="0" collapsed="false">
      <c r="B78" s="25"/>
      <c r="C78" s="25"/>
      <c r="D78" s="25"/>
    </row>
    <row r="79" customFormat="false" ht="15" hidden="false" customHeight="false" outlineLevel="0" collapsed="false">
      <c r="B79" s="25"/>
      <c r="C79" s="25"/>
      <c r="D79" s="25"/>
    </row>
    <row r="80" customFormat="false" ht="15" hidden="false" customHeight="false" outlineLevel="0" collapsed="false">
      <c r="B80" s="25"/>
      <c r="C80" s="25"/>
      <c r="D80" s="25"/>
    </row>
    <row r="81" customFormat="false" ht="15" hidden="false" customHeight="false" outlineLevel="0" collapsed="false">
      <c r="B81" s="25"/>
      <c r="C81" s="25"/>
      <c r="D81" s="25"/>
    </row>
    <row r="82" customFormat="false" ht="15" hidden="false" customHeight="false" outlineLevel="0" collapsed="false">
      <c r="B82" s="25"/>
      <c r="C82" s="25"/>
      <c r="D82" s="25"/>
    </row>
    <row r="83" customFormat="false" ht="15" hidden="false" customHeight="false" outlineLevel="0" collapsed="false">
      <c r="B83" s="25"/>
      <c r="C83" s="25"/>
      <c r="D83" s="25"/>
    </row>
    <row r="84" customFormat="false" ht="15" hidden="false" customHeight="false" outlineLevel="0" collapsed="false">
      <c r="B84" s="25"/>
      <c r="C84" s="25"/>
      <c r="D84" s="25"/>
    </row>
    <row r="85" customFormat="false" ht="15" hidden="false" customHeight="false" outlineLevel="0" collapsed="false">
      <c r="B85" s="25"/>
      <c r="C85" s="25"/>
      <c r="D85" s="25"/>
    </row>
    <row r="86" customFormat="false" ht="15" hidden="false" customHeight="false" outlineLevel="0" collapsed="false">
      <c r="B86" s="25"/>
      <c r="C86" s="25"/>
      <c r="D86" s="25"/>
    </row>
    <row r="87" customFormat="false" ht="15" hidden="false" customHeight="false" outlineLevel="0" collapsed="false">
      <c r="B87" s="25"/>
      <c r="C87" s="25"/>
      <c r="D87" s="25"/>
    </row>
    <row r="88" customFormat="false" ht="15" hidden="false" customHeight="false" outlineLevel="0" collapsed="false">
      <c r="B88" s="25"/>
      <c r="C88" s="25"/>
      <c r="D88" s="25"/>
    </row>
    <row r="89" customFormat="false" ht="15" hidden="false" customHeight="false" outlineLevel="0" collapsed="false">
      <c r="B89" s="25"/>
      <c r="C89" s="25"/>
      <c r="D89" s="25"/>
    </row>
    <row r="90" customFormat="false" ht="15" hidden="false" customHeight="false" outlineLevel="0" collapsed="false">
      <c r="B90" s="25"/>
      <c r="C90" s="25"/>
      <c r="D90" s="25"/>
    </row>
    <row r="91" customFormat="false" ht="15" hidden="false" customHeight="false" outlineLevel="0" collapsed="false">
      <c r="B91" s="25"/>
      <c r="C91" s="25"/>
      <c r="D91" s="25"/>
    </row>
    <row r="92" customFormat="false" ht="15" hidden="false" customHeight="false" outlineLevel="0" collapsed="false">
      <c r="B92" s="25"/>
      <c r="C92" s="25"/>
      <c r="D92" s="25"/>
    </row>
    <row r="93" customFormat="false" ht="15" hidden="false" customHeight="false" outlineLevel="0" collapsed="false">
      <c r="B93" s="25"/>
      <c r="C93" s="25"/>
      <c r="D93" s="25"/>
    </row>
    <row r="94" customFormat="false" ht="15" hidden="false" customHeight="false" outlineLevel="0" collapsed="false">
      <c r="B94" s="25"/>
      <c r="C94" s="25"/>
      <c r="D94" s="25"/>
    </row>
    <row r="95" customFormat="false" ht="15" hidden="false" customHeight="false" outlineLevel="0" collapsed="false">
      <c r="B95" s="25"/>
      <c r="C95" s="25"/>
      <c r="D95" s="25"/>
    </row>
    <row r="96" customFormat="false" ht="15" hidden="false" customHeight="false" outlineLevel="0" collapsed="false">
      <c r="B96" s="25"/>
      <c r="C96" s="25"/>
      <c r="D96" s="25"/>
    </row>
    <row r="97" customFormat="false" ht="15" hidden="false" customHeight="false" outlineLevel="0" collapsed="false">
      <c r="B97" s="25"/>
      <c r="C97" s="25"/>
      <c r="D97" s="25"/>
    </row>
    <row r="98" customFormat="false" ht="15" hidden="false" customHeight="false" outlineLevel="0" collapsed="false">
      <c r="B98" s="25"/>
      <c r="C98" s="25"/>
      <c r="D98" s="25"/>
    </row>
    <row r="99" customFormat="false" ht="15" hidden="false" customHeight="false" outlineLevel="0" collapsed="false">
      <c r="B99" s="25"/>
      <c r="C99" s="25"/>
      <c r="D99" s="25"/>
    </row>
    <row r="100" customFormat="false" ht="15" hidden="false" customHeight="false" outlineLevel="0" collapsed="false">
      <c r="B100" s="25"/>
      <c r="C100" s="25"/>
      <c r="D100" s="25"/>
    </row>
    <row r="101" customFormat="false" ht="15" hidden="false" customHeight="false" outlineLevel="0" collapsed="false">
      <c r="B101" s="25"/>
      <c r="C101" s="25"/>
      <c r="D101" s="25"/>
    </row>
    <row r="102" customFormat="false" ht="15" hidden="false" customHeight="false" outlineLevel="0" collapsed="false">
      <c r="B102" s="25"/>
      <c r="C102" s="25"/>
      <c r="D102" s="25"/>
    </row>
    <row r="103" customFormat="false" ht="15" hidden="false" customHeight="false" outlineLevel="0" collapsed="false">
      <c r="B103" s="25"/>
      <c r="C103" s="25"/>
      <c r="D103" s="25"/>
    </row>
    <row r="104" customFormat="false" ht="15" hidden="false" customHeight="false" outlineLevel="0" collapsed="false">
      <c r="B104" s="25"/>
      <c r="C104" s="25"/>
      <c r="D104" s="25"/>
    </row>
    <row r="105" customFormat="false" ht="15" hidden="false" customHeight="false" outlineLevel="0" collapsed="false">
      <c r="B105" s="25"/>
      <c r="C105" s="25"/>
      <c r="D105" s="25"/>
    </row>
    <row r="106" customFormat="false" ht="15" hidden="false" customHeight="false" outlineLevel="0" collapsed="false">
      <c r="B106" s="25"/>
      <c r="C106" s="25"/>
      <c r="D106" s="25"/>
    </row>
    <row r="107" customFormat="false" ht="15" hidden="false" customHeight="false" outlineLevel="0" collapsed="false">
      <c r="B107" s="25"/>
      <c r="C107" s="25"/>
      <c r="D107" s="25"/>
    </row>
    <row r="108" customFormat="false" ht="15" hidden="false" customHeight="false" outlineLevel="0" collapsed="false">
      <c r="B108" s="25"/>
      <c r="C108" s="25"/>
      <c r="D108" s="25"/>
    </row>
    <row r="109" customFormat="false" ht="15" hidden="false" customHeight="false" outlineLevel="0" collapsed="false">
      <c r="B109" s="25"/>
      <c r="C109" s="25"/>
      <c r="D109" s="25"/>
    </row>
    <row r="110" customFormat="false" ht="15" hidden="false" customHeight="false" outlineLevel="0" collapsed="false">
      <c r="B110" s="25"/>
      <c r="C110" s="25"/>
      <c r="D110" s="25"/>
    </row>
    <row r="111" customFormat="false" ht="15" hidden="false" customHeight="false" outlineLevel="0" collapsed="false">
      <c r="B111" s="25"/>
      <c r="C111" s="25"/>
      <c r="D111" s="25"/>
    </row>
    <row r="112" customFormat="false" ht="15" hidden="false" customHeight="false" outlineLevel="0" collapsed="false">
      <c r="B112" s="25"/>
      <c r="C112" s="25"/>
      <c r="D112" s="25"/>
    </row>
    <row r="113" customFormat="false" ht="15" hidden="false" customHeight="false" outlineLevel="0" collapsed="false">
      <c r="B113" s="25"/>
      <c r="C113" s="25"/>
      <c r="D113" s="25"/>
    </row>
    <row r="114" customFormat="false" ht="15" hidden="false" customHeight="false" outlineLevel="0" collapsed="false">
      <c r="B114" s="25"/>
      <c r="C114" s="25"/>
      <c r="D114" s="25"/>
    </row>
    <row r="115" customFormat="false" ht="15" hidden="false" customHeight="false" outlineLevel="0" collapsed="false">
      <c r="B115" s="25"/>
      <c r="C115" s="25"/>
      <c r="D115" s="25"/>
    </row>
    <row r="116" customFormat="false" ht="15" hidden="false" customHeight="false" outlineLevel="0" collapsed="false">
      <c r="B116" s="25"/>
      <c r="C116" s="25"/>
      <c r="D116" s="25"/>
    </row>
    <row r="117" customFormat="false" ht="15" hidden="false" customHeight="false" outlineLevel="0" collapsed="false">
      <c r="B117" s="25"/>
      <c r="C117" s="25"/>
      <c r="D117" s="25"/>
    </row>
    <row r="118" customFormat="false" ht="15" hidden="false" customHeight="false" outlineLevel="0" collapsed="false">
      <c r="B118" s="25"/>
      <c r="C118" s="25"/>
      <c r="D118" s="25"/>
    </row>
    <row r="119" customFormat="false" ht="15" hidden="false" customHeight="false" outlineLevel="0" collapsed="false">
      <c r="B119" s="25"/>
      <c r="C119" s="25"/>
      <c r="D119" s="25"/>
    </row>
    <row r="120" customFormat="false" ht="15" hidden="false" customHeight="false" outlineLevel="0" collapsed="false">
      <c r="B120" s="25"/>
      <c r="C120" s="25"/>
      <c r="D120" s="25"/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F12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5" activeCellId="0" sqref="B5"/>
    </sheetView>
  </sheetViews>
  <sheetFormatPr defaultColWidth="8.5390625" defaultRowHeight="15" zeroHeight="false" outlineLevelRow="0" outlineLevelCol="0"/>
  <cols>
    <col collapsed="false" customWidth="true" hidden="false" outlineLevel="0" max="1" min="1" style="0" width="18"/>
    <col collapsed="false" customWidth="true" hidden="false" outlineLevel="0" max="2" min="2" style="0" width="16.28"/>
    <col collapsed="false" customWidth="true" hidden="false" outlineLevel="0" max="3" min="3" style="0" width="15.71"/>
    <col collapsed="false" customWidth="true" hidden="false" outlineLevel="0" max="4" min="4" style="0" width="17.14"/>
    <col collapsed="false" customWidth="true" hidden="false" outlineLevel="0" max="5" min="5" style="0" width="17"/>
    <col collapsed="false" customWidth="true" hidden="false" outlineLevel="0" max="6" min="6" style="0" width="17.14"/>
  </cols>
  <sheetData>
    <row r="1" customFormat="false" ht="15" hidden="false" customHeight="false" outlineLevel="0" collapsed="false">
      <c r="A1" s="30" t="s">
        <v>0</v>
      </c>
      <c r="B1" s="31" t="s">
        <v>1</v>
      </c>
    </row>
    <row r="2" customFormat="false" ht="15" hidden="false" customHeight="false" outlineLevel="0" collapsed="false">
      <c r="A2" s="32" t="s">
        <v>2</v>
      </c>
      <c r="B2" s="33" t="n">
        <v>44256</v>
      </c>
    </row>
    <row r="3" customFormat="false" ht="15.75" hidden="false" customHeight="false" outlineLevel="0" collapsed="false">
      <c r="A3" s="32" t="s">
        <v>3</v>
      </c>
      <c r="B3" s="34" t="n">
        <v>36</v>
      </c>
    </row>
    <row r="4" customFormat="false" ht="15" hidden="false" customHeight="false" outlineLevel="0" collapsed="false">
      <c r="A4" s="32" t="s">
        <v>4</v>
      </c>
      <c r="B4" s="35" t="n">
        <v>10000</v>
      </c>
      <c r="E4" s="9" t="s">
        <v>5</v>
      </c>
      <c r="F4" s="10" t="n">
        <f aca="false">B4*F5</f>
        <v>268.494507807092</v>
      </c>
    </row>
    <row r="5" customFormat="false" ht="15" hidden="false" customHeight="false" outlineLevel="0" collapsed="false">
      <c r="A5" s="32" t="s">
        <v>6</v>
      </c>
      <c r="B5" s="36" t="n">
        <v>0.15</v>
      </c>
      <c r="D5" s="13"/>
      <c r="E5" s="14" t="s">
        <v>8</v>
      </c>
      <c r="F5" s="37" t="n">
        <v>0.0268494507807092</v>
      </c>
    </row>
    <row r="6" customFormat="false" ht="15.75" hidden="false" customHeight="false" outlineLevel="0" collapsed="false">
      <c r="A6" s="38" t="s">
        <v>9</v>
      </c>
      <c r="B6" s="39" t="n">
        <v>0.07</v>
      </c>
      <c r="D6" s="13"/>
      <c r="E6" s="19" t="s">
        <v>15</v>
      </c>
      <c r="F6" s="40" t="n">
        <f aca="false">SUM(B9:B120)</f>
        <v>40428.4383480518</v>
      </c>
    </row>
    <row r="7" customFormat="false" ht="15" hidden="false" customHeight="false" outlineLevel="0" collapsed="false">
      <c r="A7" s="17"/>
      <c r="B7" s="18"/>
      <c r="E7" s="41"/>
      <c r="F7" s="18"/>
    </row>
    <row r="8" customFormat="false" ht="15" hidden="false" customHeight="false" outlineLevel="0" collapsed="false">
      <c r="A8" s="21" t="s">
        <v>11</v>
      </c>
      <c r="B8" s="21" t="s">
        <v>12</v>
      </c>
      <c r="C8" s="21" t="s">
        <v>7</v>
      </c>
      <c r="D8" s="21" t="s">
        <v>13</v>
      </c>
    </row>
    <row r="9" customFormat="false" ht="15" hidden="false" customHeight="false" outlineLevel="0" collapsed="false">
      <c r="A9" s="0" t="n">
        <v>1</v>
      </c>
      <c r="B9" s="25" t="n">
        <v>970.204903960926</v>
      </c>
      <c r="C9" s="25" t="n">
        <v>210.7875</v>
      </c>
      <c r="D9" s="25" t="n">
        <v>35375.58</v>
      </c>
    </row>
    <row r="10" customFormat="false" ht="15" hidden="false" customHeight="false" outlineLevel="0" collapsed="false">
      <c r="A10" s="0" t="n">
        <v>2</v>
      </c>
      <c r="B10" s="25" t="n">
        <v>970.204903960926</v>
      </c>
      <c r="C10" s="25" t="n">
        <v>206.35755</v>
      </c>
      <c r="D10" s="25" t="n">
        <v>34611.73</v>
      </c>
    </row>
    <row r="11" customFormat="false" ht="15" hidden="false" customHeight="false" outlineLevel="0" collapsed="false">
      <c r="A11" s="0" t="n">
        <v>3</v>
      </c>
      <c r="B11" s="25" t="n">
        <v>970.204903960926</v>
      </c>
      <c r="C11" s="25" t="n">
        <v>201.901758333333</v>
      </c>
      <c r="D11" s="25" t="n">
        <v>33843.43</v>
      </c>
    </row>
    <row r="12" customFormat="false" ht="15" hidden="false" customHeight="false" outlineLevel="0" collapsed="false">
      <c r="A12" s="0" t="n">
        <v>4</v>
      </c>
      <c r="B12" s="25" t="n">
        <v>970.204903960926</v>
      </c>
      <c r="C12" s="25" t="n">
        <v>197.420008333333</v>
      </c>
      <c r="D12" s="25" t="n">
        <v>33070.65</v>
      </c>
    </row>
    <row r="13" customFormat="false" ht="15" hidden="false" customHeight="false" outlineLevel="0" collapsed="false">
      <c r="A13" s="0" t="n">
        <v>5</v>
      </c>
      <c r="B13" s="25" t="n">
        <v>970.204903960926</v>
      </c>
      <c r="C13" s="25" t="n">
        <v>192.912125</v>
      </c>
      <c r="D13" s="25" t="n">
        <v>32293.36</v>
      </c>
    </row>
    <row r="14" customFormat="false" ht="15" hidden="false" customHeight="false" outlineLevel="0" collapsed="false">
      <c r="A14" s="0" t="n">
        <v>6</v>
      </c>
      <c r="B14" s="25" t="n">
        <v>970.204903960926</v>
      </c>
      <c r="C14" s="25" t="n">
        <v>188.377933333333</v>
      </c>
      <c r="D14" s="25" t="n">
        <v>31511.53</v>
      </c>
    </row>
    <row r="15" customFormat="false" ht="15" hidden="false" customHeight="false" outlineLevel="0" collapsed="false">
      <c r="A15" s="0" t="n">
        <v>7</v>
      </c>
      <c r="B15" s="25" t="n">
        <v>970.204903960926</v>
      </c>
      <c r="C15" s="25" t="n">
        <v>183.817258333333</v>
      </c>
      <c r="D15" s="25" t="n">
        <v>30725.14</v>
      </c>
    </row>
    <row r="16" customFormat="false" ht="15" hidden="false" customHeight="false" outlineLevel="0" collapsed="false">
      <c r="A16" s="0" t="n">
        <v>8</v>
      </c>
      <c r="B16" s="25" t="n">
        <v>970.204903960926</v>
      </c>
      <c r="C16" s="25" t="n">
        <v>179.229983333333</v>
      </c>
      <c r="D16" s="25" t="n">
        <v>29934.17</v>
      </c>
    </row>
    <row r="17" customFormat="false" ht="15" hidden="false" customHeight="false" outlineLevel="0" collapsed="false">
      <c r="A17" s="0" t="n">
        <v>9</v>
      </c>
      <c r="B17" s="25" t="n">
        <v>970.204903960926</v>
      </c>
      <c r="C17" s="25" t="n">
        <v>174.615991666667</v>
      </c>
      <c r="D17" s="25" t="n">
        <v>29138.58</v>
      </c>
    </row>
    <row r="18" customFormat="false" ht="15" hidden="false" customHeight="false" outlineLevel="0" collapsed="false">
      <c r="A18" s="0" t="n">
        <v>10</v>
      </c>
      <c r="B18" s="25" t="n">
        <v>970.204903960926</v>
      </c>
      <c r="C18" s="25" t="n">
        <v>169.97505</v>
      </c>
      <c r="D18" s="25" t="n">
        <v>28338.35</v>
      </c>
    </row>
    <row r="19" customFormat="false" ht="15" hidden="false" customHeight="false" outlineLevel="0" collapsed="false">
      <c r="A19" s="0" t="n">
        <v>11</v>
      </c>
      <c r="B19" s="25" t="n">
        <v>970.204903960926</v>
      </c>
      <c r="C19" s="25" t="n">
        <v>165.307041666667</v>
      </c>
      <c r="D19" s="25" t="n">
        <v>27533.45</v>
      </c>
    </row>
    <row r="20" customFormat="false" ht="15" hidden="false" customHeight="false" outlineLevel="0" collapsed="false">
      <c r="A20" s="0" t="n">
        <v>12</v>
      </c>
      <c r="B20" s="25" t="n">
        <v>970.204903960926</v>
      </c>
      <c r="C20" s="25" t="n">
        <v>160.611791666667</v>
      </c>
      <c r="D20" s="25" t="n">
        <v>26723.86</v>
      </c>
    </row>
    <row r="21" customFormat="false" ht="15" hidden="false" customHeight="false" outlineLevel="0" collapsed="false">
      <c r="A21" s="0" t="n">
        <v>13</v>
      </c>
      <c r="B21" s="25" t="n">
        <v>1115.73563955507</v>
      </c>
      <c r="C21" s="25" t="n">
        <v>155.889183333333</v>
      </c>
      <c r="D21" s="25" t="n">
        <v>25764.01</v>
      </c>
    </row>
    <row r="22" customFormat="false" ht="15" hidden="false" customHeight="false" outlineLevel="0" collapsed="false">
      <c r="A22" s="0" t="n">
        <v>14</v>
      </c>
      <c r="B22" s="25" t="n">
        <v>1115.73563955507</v>
      </c>
      <c r="C22" s="25" t="n">
        <v>150.290058333333</v>
      </c>
      <c r="D22" s="25" t="n">
        <v>24798.56</v>
      </c>
    </row>
    <row r="23" customFormat="false" ht="15" hidden="false" customHeight="false" outlineLevel="0" collapsed="false">
      <c r="A23" s="0" t="n">
        <v>15</v>
      </c>
      <c r="B23" s="25" t="n">
        <v>1115.73563955507</v>
      </c>
      <c r="C23" s="25" t="n">
        <v>144.658266666667</v>
      </c>
      <c r="D23" s="25" t="n">
        <v>23827.48</v>
      </c>
    </row>
    <row r="24" customFormat="false" ht="15" hidden="false" customHeight="false" outlineLevel="0" collapsed="false">
      <c r="A24" s="0" t="n">
        <v>16</v>
      </c>
      <c r="B24" s="25" t="n">
        <v>1115.73563955507</v>
      </c>
      <c r="C24" s="25" t="n">
        <v>138.993633333333</v>
      </c>
      <c r="D24" s="25" t="n">
        <v>22850.74</v>
      </c>
    </row>
    <row r="25" customFormat="false" ht="15" hidden="false" customHeight="false" outlineLevel="0" collapsed="false">
      <c r="A25" s="0" t="n">
        <v>17</v>
      </c>
      <c r="B25" s="25" t="n">
        <v>1115.73563955507</v>
      </c>
      <c r="C25" s="25" t="n">
        <v>133.295983333333</v>
      </c>
      <c r="D25" s="25" t="n">
        <v>21868.3</v>
      </c>
    </row>
    <row r="26" customFormat="false" ht="15" hidden="false" customHeight="false" outlineLevel="0" collapsed="false">
      <c r="A26" s="0" t="n">
        <v>18</v>
      </c>
      <c r="B26" s="25" t="n">
        <v>1115.73563955507</v>
      </c>
      <c r="C26" s="25" t="n">
        <v>127.565083333333</v>
      </c>
      <c r="D26" s="25" t="n">
        <v>20880.13</v>
      </c>
    </row>
    <row r="27" customFormat="false" ht="15" hidden="false" customHeight="false" outlineLevel="0" collapsed="false">
      <c r="A27" s="0" t="n">
        <v>19</v>
      </c>
      <c r="B27" s="25" t="n">
        <v>1115.73563955507</v>
      </c>
      <c r="C27" s="25" t="n">
        <v>121.800758333333</v>
      </c>
      <c r="D27" s="25" t="n">
        <v>19886.2</v>
      </c>
    </row>
    <row r="28" customFormat="false" ht="15" hidden="false" customHeight="false" outlineLevel="0" collapsed="false">
      <c r="A28" s="0" t="n">
        <v>20</v>
      </c>
      <c r="B28" s="25" t="n">
        <v>1115.73563955507</v>
      </c>
      <c r="C28" s="25" t="n">
        <v>116.002833333333</v>
      </c>
      <c r="D28" s="25" t="n">
        <v>18886.47</v>
      </c>
    </row>
    <row r="29" customFormat="false" ht="15" hidden="false" customHeight="false" outlineLevel="0" collapsed="false">
      <c r="A29" s="0" t="n">
        <v>21</v>
      </c>
      <c r="B29" s="25" t="n">
        <v>1115.73563955507</v>
      </c>
      <c r="C29" s="25" t="n">
        <v>110.171075</v>
      </c>
      <c r="D29" s="25" t="n">
        <v>17880.91</v>
      </c>
    </row>
    <row r="30" customFormat="false" ht="15" hidden="false" customHeight="false" outlineLevel="0" collapsed="false">
      <c r="A30" s="0" t="n">
        <v>22</v>
      </c>
      <c r="B30" s="25" t="n">
        <v>1115.73563955507</v>
      </c>
      <c r="C30" s="25" t="n">
        <v>104.305308333333</v>
      </c>
      <c r="D30" s="25" t="n">
        <v>16869.48</v>
      </c>
    </row>
    <row r="31" customFormat="false" ht="15" hidden="false" customHeight="false" outlineLevel="0" collapsed="false">
      <c r="A31" s="0" t="n">
        <v>23</v>
      </c>
      <c r="B31" s="25" t="n">
        <v>1115.73563955507</v>
      </c>
      <c r="C31" s="25" t="n">
        <v>98.4053</v>
      </c>
      <c r="D31" s="25" t="n">
        <v>15852.15</v>
      </c>
    </row>
    <row r="32" customFormat="false" ht="15" hidden="false" customHeight="false" outlineLevel="0" collapsed="false">
      <c r="A32" s="0" t="n">
        <v>24</v>
      </c>
      <c r="B32" s="25" t="n">
        <v>1115.73563955507</v>
      </c>
      <c r="C32" s="25" t="n">
        <v>92.470875</v>
      </c>
      <c r="D32" s="25" t="n">
        <v>14828.89</v>
      </c>
    </row>
    <row r="33" customFormat="false" ht="15" hidden="false" customHeight="false" outlineLevel="0" collapsed="false">
      <c r="A33" s="0" t="n">
        <v>25</v>
      </c>
      <c r="B33" s="25" t="n">
        <v>1283.09598548833</v>
      </c>
      <c r="C33" s="25" t="n">
        <v>86.5018583333334</v>
      </c>
      <c r="D33" s="25" t="n">
        <v>13632.3</v>
      </c>
    </row>
    <row r="34" customFormat="false" ht="15" hidden="false" customHeight="false" outlineLevel="0" collapsed="false">
      <c r="A34" s="0" t="n">
        <v>26</v>
      </c>
      <c r="B34" s="25" t="n">
        <v>1283.09598548833</v>
      </c>
      <c r="C34" s="25" t="n">
        <v>79.52175</v>
      </c>
      <c r="D34" s="25" t="n">
        <v>12428.73</v>
      </c>
    </row>
    <row r="35" customFormat="false" ht="15" hidden="false" customHeight="false" outlineLevel="0" collapsed="false">
      <c r="A35" s="0" t="n">
        <v>27</v>
      </c>
      <c r="B35" s="25" t="n">
        <v>1283.09598548833</v>
      </c>
      <c r="C35" s="25" t="n">
        <v>72.500925</v>
      </c>
      <c r="D35" s="25" t="n">
        <v>11218.13</v>
      </c>
    </row>
    <row r="36" customFormat="false" ht="15" hidden="false" customHeight="false" outlineLevel="0" collapsed="false">
      <c r="A36" s="0" t="n">
        <v>28</v>
      </c>
      <c r="B36" s="25" t="n">
        <v>1283.09598548833</v>
      </c>
      <c r="C36" s="25" t="n">
        <v>65.4390916666667</v>
      </c>
      <c r="D36" s="25" t="n">
        <v>10000.47</v>
      </c>
    </row>
    <row r="37" customFormat="false" ht="15" hidden="false" customHeight="false" outlineLevel="0" collapsed="false">
      <c r="A37" s="0" t="n">
        <v>29</v>
      </c>
      <c r="B37" s="25" t="n">
        <v>1283.09598548833</v>
      </c>
      <c r="C37" s="25" t="n">
        <v>58.336075</v>
      </c>
      <c r="D37" s="25" t="n">
        <v>8775.71</v>
      </c>
    </row>
    <row r="38" customFormat="false" ht="15" hidden="false" customHeight="false" outlineLevel="0" collapsed="false">
      <c r="A38" s="0" t="n">
        <v>30</v>
      </c>
      <c r="B38" s="25" t="n">
        <v>1283.09598548833</v>
      </c>
      <c r="C38" s="25" t="n">
        <v>51.1916416666667</v>
      </c>
      <c r="D38" s="25" t="n">
        <v>7543.81</v>
      </c>
    </row>
    <row r="39" customFormat="false" ht="15" hidden="false" customHeight="false" outlineLevel="0" collapsed="false">
      <c r="A39" s="0" t="n">
        <v>31</v>
      </c>
      <c r="B39" s="25" t="n">
        <v>1283.09598548833</v>
      </c>
      <c r="C39" s="25" t="n">
        <v>44.0055583333333</v>
      </c>
      <c r="D39" s="25" t="n">
        <v>6304.72</v>
      </c>
    </row>
    <row r="40" customFormat="false" ht="15" hidden="false" customHeight="false" outlineLevel="0" collapsed="false">
      <c r="A40" s="0" t="n">
        <v>32</v>
      </c>
      <c r="B40" s="25" t="n">
        <v>1283.09598548833</v>
      </c>
      <c r="C40" s="25" t="n">
        <v>36.7775333333333</v>
      </c>
      <c r="D40" s="25" t="n">
        <v>5058.4</v>
      </c>
    </row>
    <row r="41" customFormat="false" ht="15" hidden="false" customHeight="false" outlineLevel="0" collapsed="false">
      <c r="A41" s="0" t="n">
        <v>33</v>
      </c>
      <c r="B41" s="25" t="n">
        <v>1283.09598548833</v>
      </c>
      <c r="C41" s="25" t="n">
        <v>29.5073333333333</v>
      </c>
      <c r="D41" s="25" t="n">
        <v>3804.81</v>
      </c>
    </row>
    <row r="42" customFormat="false" ht="15" hidden="false" customHeight="false" outlineLevel="0" collapsed="false">
      <c r="A42" s="0" t="n">
        <v>34</v>
      </c>
      <c r="B42" s="25" t="n">
        <v>1283.09598548833</v>
      </c>
      <c r="C42" s="25" t="n">
        <v>22.194725</v>
      </c>
      <c r="D42" s="25" t="n">
        <v>2543.91</v>
      </c>
    </row>
    <row r="43" customFormat="false" ht="15" hidden="false" customHeight="false" outlineLevel="0" collapsed="false">
      <c r="A43" s="0" t="n">
        <v>35</v>
      </c>
      <c r="B43" s="25" t="n">
        <v>1283.09598548833</v>
      </c>
      <c r="C43" s="25" t="n">
        <v>14.839475</v>
      </c>
      <c r="D43" s="25" t="n">
        <v>1275.65</v>
      </c>
    </row>
    <row r="44" customFormat="false" ht="15" hidden="false" customHeight="false" outlineLevel="0" collapsed="false">
      <c r="A44" s="0" t="n">
        <v>36</v>
      </c>
      <c r="B44" s="25" t="n">
        <v>1283.09598548833</v>
      </c>
      <c r="C44" s="25" t="n">
        <v>7.44129166666667</v>
      </c>
      <c r="D44" s="25" t="n">
        <v>0</v>
      </c>
    </row>
    <row r="45" customFormat="false" ht="15" hidden="false" customHeight="false" outlineLevel="0" collapsed="false">
      <c r="B45" s="25"/>
      <c r="C45" s="25"/>
      <c r="D45" s="25"/>
    </row>
    <row r="46" customFormat="false" ht="15" hidden="false" customHeight="false" outlineLevel="0" collapsed="false">
      <c r="B46" s="25"/>
      <c r="C46" s="25"/>
      <c r="D46" s="25"/>
    </row>
    <row r="47" customFormat="false" ht="15" hidden="false" customHeight="false" outlineLevel="0" collapsed="false">
      <c r="B47" s="25"/>
      <c r="C47" s="25"/>
      <c r="D47" s="25"/>
    </row>
    <row r="48" customFormat="false" ht="15" hidden="false" customHeight="false" outlineLevel="0" collapsed="false">
      <c r="B48" s="25"/>
      <c r="C48" s="25"/>
      <c r="D48" s="25"/>
    </row>
    <row r="49" customFormat="false" ht="15" hidden="false" customHeight="false" outlineLevel="0" collapsed="false">
      <c r="B49" s="25"/>
      <c r="C49" s="25"/>
      <c r="D49" s="25"/>
    </row>
    <row r="50" customFormat="false" ht="15" hidden="false" customHeight="false" outlineLevel="0" collapsed="false">
      <c r="B50" s="25"/>
      <c r="C50" s="25"/>
      <c r="D50" s="25"/>
    </row>
    <row r="51" customFormat="false" ht="15" hidden="false" customHeight="false" outlineLevel="0" collapsed="false">
      <c r="B51" s="25"/>
      <c r="C51" s="25"/>
      <c r="D51" s="25"/>
    </row>
    <row r="52" customFormat="false" ht="15" hidden="false" customHeight="false" outlineLevel="0" collapsed="false">
      <c r="B52" s="25"/>
      <c r="C52" s="25"/>
      <c r="D52" s="25"/>
    </row>
    <row r="53" customFormat="false" ht="15" hidden="false" customHeight="false" outlineLevel="0" collapsed="false">
      <c r="B53" s="25"/>
      <c r="C53" s="25"/>
      <c r="D53" s="25"/>
    </row>
    <row r="54" customFormat="false" ht="15" hidden="false" customHeight="false" outlineLevel="0" collapsed="false">
      <c r="B54" s="25"/>
      <c r="C54" s="25"/>
      <c r="D54" s="25"/>
    </row>
    <row r="55" customFormat="false" ht="15" hidden="false" customHeight="false" outlineLevel="0" collapsed="false">
      <c r="B55" s="25"/>
      <c r="C55" s="25"/>
      <c r="D55" s="25"/>
    </row>
    <row r="56" customFormat="false" ht="15" hidden="false" customHeight="false" outlineLevel="0" collapsed="false">
      <c r="B56" s="25"/>
      <c r="C56" s="25"/>
      <c r="D56" s="25"/>
    </row>
    <row r="57" customFormat="false" ht="15" hidden="false" customHeight="false" outlineLevel="0" collapsed="false">
      <c r="B57" s="25"/>
      <c r="C57" s="25"/>
      <c r="D57" s="25"/>
    </row>
    <row r="58" customFormat="false" ht="15" hidden="false" customHeight="false" outlineLevel="0" collapsed="false">
      <c r="B58" s="25"/>
      <c r="C58" s="25"/>
      <c r="D58" s="25"/>
    </row>
    <row r="59" customFormat="false" ht="15" hidden="false" customHeight="false" outlineLevel="0" collapsed="false">
      <c r="B59" s="25"/>
      <c r="C59" s="25"/>
      <c r="D59" s="25"/>
    </row>
    <row r="60" customFormat="false" ht="15" hidden="false" customHeight="false" outlineLevel="0" collapsed="false">
      <c r="B60" s="25"/>
      <c r="C60" s="25"/>
      <c r="D60" s="25"/>
    </row>
    <row r="61" customFormat="false" ht="15" hidden="false" customHeight="false" outlineLevel="0" collapsed="false">
      <c r="B61" s="25"/>
      <c r="C61" s="25"/>
      <c r="D61" s="25"/>
    </row>
    <row r="62" customFormat="false" ht="15" hidden="false" customHeight="false" outlineLevel="0" collapsed="false">
      <c r="B62" s="25"/>
      <c r="C62" s="25"/>
      <c r="D62" s="25"/>
    </row>
    <row r="63" customFormat="false" ht="15" hidden="false" customHeight="false" outlineLevel="0" collapsed="false">
      <c r="B63" s="25"/>
      <c r="C63" s="25"/>
      <c r="D63" s="25"/>
    </row>
    <row r="64" customFormat="false" ht="15" hidden="false" customHeight="false" outlineLevel="0" collapsed="false">
      <c r="B64" s="25"/>
      <c r="C64" s="25"/>
      <c r="D64" s="25"/>
    </row>
    <row r="65" customFormat="false" ht="15" hidden="false" customHeight="false" outlineLevel="0" collapsed="false">
      <c r="B65" s="25"/>
      <c r="C65" s="25"/>
      <c r="D65" s="25"/>
    </row>
    <row r="66" customFormat="false" ht="15" hidden="false" customHeight="false" outlineLevel="0" collapsed="false">
      <c r="B66" s="25"/>
      <c r="C66" s="25"/>
      <c r="D66" s="25"/>
    </row>
    <row r="67" customFormat="false" ht="15" hidden="false" customHeight="false" outlineLevel="0" collapsed="false">
      <c r="B67" s="25"/>
      <c r="C67" s="25"/>
      <c r="D67" s="25"/>
    </row>
    <row r="68" customFormat="false" ht="15" hidden="false" customHeight="false" outlineLevel="0" collapsed="false">
      <c r="B68" s="25"/>
      <c r="C68" s="25"/>
      <c r="D68" s="25"/>
    </row>
    <row r="69" customFormat="false" ht="15" hidden="false" customHeight="false" outlineLevel="0" collapsed="false">
      <c r="B69" s="25"/>
      <c r="C69" s="25"/>
      <c r="D69" s="25"/>
    </row>
    <row r="70" customFormat="false" ht="15" hidden="false" customHeight="false" outlineLevel="0" collapsed="false">
      <c r="B70" s="25"/>
      <c r="C70" s="25"/>
      <c r="D70" s="25"/>
    </row>
    <row r="71" customFormat="false" ht="15" hidden="false" customHeight="false" outlineLevel="0" collapsed="false">
      <c r="B71" s="25"/>
      <c r="C71" s="25"/>
      <c r="D71" s="25"/>
    </row>
    <row r="72" customFormat="false" ht="15" hidden="false" customHeight="false" outlineLevel="0" collapsed="false">
      <c r="B72" s="25"/>
      <c r="C72" s="25"/>
      <c r="D72" s="25"/>
    </row>
    <row r="73" customFormat="false" ht="15" hidden="false" customHeight="false" outlineLevel="0" collapsed="false">
      <c r="B73" s="25"/>
      <c r="C73" s="25"/>
      <c r="D73" s="25"/>
    </row>
    <row r="74" customFormat="false" ht="15" hidden="false" customHeight="false" outlineLevel="0" collapsed="false">
      <c r="B74" s="25"/>
      <c r="C74" s="25"/>
      <c r="D74" s="25"/>
    </row>
    <row r="75" customFormat="false" ht="15" hidden="false" customHeight="false" outlineLevel="0" collapsed="false">
      <c r="B75" s="25"/>
      <c r="C75" s="25"/>
      <c r="D75" s="25"/>
    </row>
    <row r="76" customFormat="false" ht="15" hidden="false" customHeight="false" outlineLevel="0" collapsed="false">
      <c r="B76" s="25"/>
      <c r="C76" s="25"/>
      <c r="D76" s="25"/>
    </row>
    <row r="77" customFormat="false" ht="15" hidden="false" customHeight="false" outlineLevel="0" collapsed="false">
      <c r="B77" s="25"/>
      <c r="C77" s="25"/>
      <c r="D77" s="25"/>
    </row>
    <row r="78" customFormat="false" ht="15" hidden="false" customHeight="false" outlineLevel="0" collapsed="false">
      <c r="B78" s="25"/>
      <c r="C78" s="25"/>
      <c r="D78" s="25"/>
    </row>
    <row r="79" customFormat="false" ht="15" hidden="false" customHeight="false" outlineLevel="0" collapsed="false">
      <c r="B79" s="25"/>
      <c r="C79" s="25"/>
      <c r="D79" s="25"/>
    </row>
    <row r="80" customFormat="false" ht="15" hidden="false" customHeight="false" outlineLevel="0" collapsed="false">
      <c r="B80" s="25"/>
      <c r="C80" s="25"/>
      <c r="D80" s="25"/>
    </row>
    <row r="81" customFormat="false" ht="15" hidden="false" customHeight="false" outlineLevel="0" collapsed="false">
      <c r="B81" s="25"/>
      <c r="C81" s="25"/>
      <c r="D81" s="25"/>
    </row>
    <row r="82" customFormat="false" ht="15" hidden="false" customHeight="false" outlineLevel="0" collapsed="false">
      <c r="B82" s="25"/>
      <c r="C82" s="25"/>
      <c r="D82" s="25"/>
    </row>
    <row r="83" customFormat="false" ht="15" hidden="false" customHeight="false" outlineLevel="0" collapsed="false">
      <c r="B83" s="25"/>
      <c r="C83" s="25"/>
      <c r="D83" s="25"/>
    </row>
    <row r="84" customFormat="false" ht="15" hidden="false" customHeight="false" outlineLevel="0" collapsed="false">
      <c r="B84" s="25"/>
      <c r="C84" s="25"/>
      <c r="D84" s="25"/>
    </row>
    <row r="85" customFormat="false" ht="15" hidden="false" customHeight="false" outlineLevel="0" collapsed="false">
      <c r="B85" s="25"/>
      <c r="C85" s="25"/>
      <c r="D85" s="25"/>
    </row>
    <row r="86" customFormat="false" ht="15" hidden="false" customHeight="false" outlineLevel="0" collapsed="false">
      <c r="B86" s="25"/>
      <c r="C86" s="25"/>
      <c r="D86" s="25"/>
    </row>
    <row r="87" customFormat="false" ht="15" hidden="false" customHeight="false" outlineLevel="0" collapsed="false">
      <c r="B87" s="25"/>
      <c r="C87" s="25"/>
      <c r="D87" s="25"/>
    </row>
    <row r="88" customFormat="false" ht="15" hidden="false" customHeight="false" outlineLevel="0" collapsed="false">
      <c r="B88" s="25"/>
      <c r="C88" s="25"/>
      <c r="D88" s="25"/>
    </row>
    <row r="89" customFormat="false" ht="15" hidden="false" customHeight="false" outlineLevel="0" collapsed="false">
      <c r="B89" s="25"/>
      <c r="C89" s="25"/>
      <c r="D89" s="25"/>
    </row>
    <row r="90" customFormat="false" ht="15" hidden="false" customHeight="false" outlineLevel="0" collapsed="false">
      <c r="B90" s="25"/>
      <c r="C90" s="25"/>
      <c r="D90" s="25"/>
    </row>
    <row r="91" customFormat="false" ht="15" hidden="false" customHeight="false" outlineLevel="0" collapsed="false">
      <c r="B91" s="25"/>
      <c r="C91" s="25"/>
      <c r="D91" s="25"/>
    </row>
    <row r="92" customFormat="false" ht="15" hidden="false" customHeight="false" outlineLevel="0" collapsed="false">
      <c r="B92" s="25"/>
      <c r="C92" s="25"/>
      <c r="D92" s="25"/>
    </row>
    <row r="93" customFormat="false" ht="15" hidden="false" customHeight="false" outlineLevel="0" collapsed="false">
      <c r="B93" s="25"/>
      <c r="C93" s="25"/>
      <c r="D93" s="25"/>
    </row>
    <row r="94" customFormat="false" ht="15" hidden="false" customHeight="false" outlineLevel="0" collapsed="false">
      <c r="B94" s="25"/>
      <c r="C94" s="25"/>
      <c r="D94" s="25"/>
    </row>
    <row r="95" customFormat="false" ht="15" hidden="false" customHeight="false" outlineLevel="0" collapsed="false">
      <c r="B95" s="25"/>
      <c r="C95" s="25"/>
      <c r="D95" s="25"/>
    </row>
    <row r="96" customFormat="false" ht="15" hidden="false" customHeight="false" outlineLevel="0" collapsed="false">
      <c r="B96" s="25"/>
      <c r="C96" s="25"/>
      <c r="D96" s="25"/>
    </row>
    <row r="97" customFormat="false" ht="15" hidden="false" customHeight="false" outlineLevel="0" collapsed="false">
      <c r="B97" s="25"/>
      <c r="C97" s="25"/>
      <c r="D97" s="25"/>
    </row>
    <row r="98" customFormat="false" ht="15" hidden="false" customHeight="false" outlineLevel="0" collapsed="false">
      <c r="B98" s="25"/>
      <c r="C98" s="25"/>
      <c r="D98" s="25"/>
    </row>
    <row r="99" customFormat="false" ht="15" hidden="false" customHeight="false" outlineLevel="0" collapsed="false">
      <c r="B99" s="25"/>
      <c r="C99" s="25"/>
      <c r="D99" s="25"/>
    </row>
    <row r="100" customFormat="false" ht="15" hidden="false" customHeight="false" outlineLevel="0" collapsed="false">
      <c r="B100" s="25"/>
      <c r="C100" s="25"/>
      <c r="D100" s="25"/>
    </row>
    <row r="101" customFormat="false" ht="15" hidden="false" customHeight="false" outlineLevel="0" collapsed="false">
      <c r="B101" s="25"/>
      <c r="C101" s="25"/>
      <c r="D101" s="25"/>
    </row>
    <row r="102" customFormat="false" ht="15" hidden="false" customHeight="false" outlineLevel="0" collapsed="false">
      <c r="B102" s="25"/>
      <c r="C102" s="25"/>
      <c r="D102" s="25"/>
    </row>
    <row r="103" customFormat="false" ht="15" hidden="false" customHeight="false" outlineLevel="0" collapsed="false">
      <c r="B103" s="25"/>
      <c r="C103" s="25"/>
      <c r="D103" s="25"/>
    </row>
    <row r="104" customFormat="false" ht="15" hidden="false" customHeight="false" outlineLevel="0" collapsed="false">
      <c r="B104" s="25"/>
      <c r="C104" s="25"/>
      <c r="D104" s="25"/>
    </row>
    <row r="105" customFormat="false" ht="15" hidden="false" customHeight="false" outlineLevel="0" collapsed="false">
      <c r="B105" s="25"/>
      <c r="C105" s="25"/>
      <c r="D105" s="25"/>
    </row>
    <row r="106" customFormat="false" ht="15" hidden="false" customHeight="false" outlineLevel="0" collapsed="false">
      <c r="B106" s="25"/>
      <c r="C106" s="25"/>
      <c r="D106" s="25"/>
    </row>
    <row r="107" customFormat="false" ht="15" hidden="false" customHeight="false" outlineLevel="0" collapsed="false">
      <c r="B107" s="25"/>
      <c r="C107" s="25"/>
      <c r="D107" s="25"/>
    </row>
    <row r="108" customFormat="false" ht="15" hidden="false" customHeight="false" outlineLevel="0" collapsed="false">
      <c r="B108" s="25"/>
      <c r="C108" s="25"/>
      <c r="D108" s="25"/>
    </row>
    <row r="109" customFormat="false" ht="15" hidden="false" customHeight="false" outlineLevel="0" collapsed="false">
      <c r="B109" s="25"/>
      <c r="C109" s="25"/>
      <c r="D109" s="25"/>
    </row>
    <row r="110" customFormat="false" ht="15" hidden="false" customHeight="false" outlineLevel="0" collapsed="false">
      <c r="B110" s="25"/>
      <c r="C110" s="25"/>
      <c r="D110" s="25"/>
    </row>
    <row r="111" customFormat="false" ht="15" hidden="false" customHeight="false" outlineLevel="0" collapsed="false">
      <c r="B111" s="25"/>
      <c r="C111" s="25"/>
      <c r="D111" s="25"/>
    </row>
    <row r="112" customFormat="false" ht="15" hidden="false" customHeight="false" outlineLevel="0" collapsed="false">
      <c r="B112" s="25"/>
      <c r="C112" s="25"/>
      <c r="D112" s="25"/>
    </row>
    <row r="113" customFormat="false" ht="15" hidden="false" customHeight="false" outlineLevel="0" collapsed="false">
      <c r="B113" s="25"/>
      <c r="C113" s="25"/>
      <c r="D113" s="25"/>
    </row>
    <row r="114" customFormat="false" ht="15" hidden="false" customHeight="false" outlineLevel="0" collapsed="false">
      <c r="B114" s="25"/>
      <c r="C114" s="25"/>
      <c r="D114" s="25"/>
    </row>
    <row r="115" customFormat="false" ht="15" hidden="false" customHeight="false" outlineLevel="0" collapsed="false">
      <c r="B115" s="25"/>
      <c r="C115" s="25"/>
      <c r="D115" s="25"/>
    </row>
    <row r="116" customFormat="false" ht="15" hidden="false" customHeight="false" outlineLevel="0" collapsed="false">
      <c r="B116" s="25"/>
      <c r="C116" s="25"/>
      <c r="D116" s="25"/>
    </row>
    <row r="117" customFormat="false" ht="15" hidden="false" customHeight="false" outlineLevel="0" collapsed="false">
      <c r="B117" s="25"/>
      <c r="C117" s="25"/>
      <c r="D117" s="25"/>
    </row>
    <row r="118" customFormat="false" ht="15" hidden="false" customHeight="false" outlineLevel="0" collapsed="false">
      <c r="B118" s="25"/>
      <c r="C118" s="25"/>
      <c r="D118" s="25"/>
    </row>
    <row r="119" customFormat="false" ht="15" hidden="false" customHeight="false" outlineLevel="0" collapsed="false">
      <c r="B119" s="25"/>
      <c r="C119" s="25"/>
      <c r="D119" s="25"/>
    </row>
    <row r="120" customFormat="false" ht="15" hidden="false" customHeight="false" outlineLevel="0" collapsed="false">
      <c r="B120" s="25"/>
      <c r="C120" s="25"/>
      <c r="D120" s="25"/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customXml/_rels/item1.xml.rels><?xml version="1.0" encoding="UTF-8"?>
<Relationships xmlns="http://schemas.openxmlformats.org/package/2006/relationships"><Relationship Id="rId1" Type="http://schemas.openxmlformats.org/officeDocument/2006/relationships/customXmlProps" Target="itemProps1.xml"/>
</Relationships>
</file>

<file path=customXml/_rels/item2.xml.rels><?xml version="1.0" encoding="UTF-8"?>
<Relationships xmlns="http://schemas.openxmlformats.org/package/2006/relationships"><Relationship Id="rId1" Type="http://schemas.openxmlformats.org/officeDocument/2006/relationships/customXmlProps" Target="itemProps2.xml"/>
</Relationships>
</file>

<file path=customXml/_rels/item3.xml.rels><?xml version="1.0" encoding="UTF-8"?>
<Relationships xmlns="http://schemas.openxmlformats.org/package/2006/relationships"><Relationship Id="rId1" Type="http://schemas.openxmlformats.org/officeDocument/2006/relationships/customXmlProps" Target="itemProps3.xml"/>
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F1092503096FB40A944BAFF81CE2FEB" ma:contentTypeVersion="10" ma:contentTypeDescription="Create a new document." ma:contentTypeScope="" ma:versionID="2beea56b1bb7e6d709ad9376b7cb2242">
  <xsd:schema xmlns:xsd="http://www.w3.org/2001/XMLSchema" xmlns:xs="http://www.w3.org/2001/XMLSchema" xmlns:p="http://schemas.microsoft.com/office/2006/metadata/properties" xmlns:ns2="23db9353-21b6-4e94-bb40-7725d18d607a" targetNamespace="http://schemas.microsoft.com/office/2006/metadata/properties" ma:root="true" ma:fieldsID="a8fe103ab8bb746d9b2a8a549c78d236" ns2:_="">
    <xsd:import namespace="23db9353-21b6-4e94-bb40-7725d18d607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db9353-21b6-4e94-bb40-7725d18d607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46ABDBF7-CD25-46BA-8699-A99AC8086E2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7642EE6-834D-4F7D-82CA-85094186393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3db9353-21b6-4e94-bb40-7725d18d607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79DDBA8-7920-4475-9FCB-48A6D57EB58F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73</TotalTime>
  <Application>LibreOffice/7.0.5.2$Linux_X86_64 LibreOffice_project/00$Build-2</Application>
  <AppVersion>15.0000</AppVersion>
  <DocSecurity>0</DocSecurit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2020-07-23T10:43:01Z</dcterms:created>
  <dc:creator>Tosh</dc:creator>
  <dc:description/>
  <dc:language>en-GB</dc:language>
  <cp:lastModifiedBy/>
  <dcterms:modified xsi:type="dcterms:W3CDTF">2021-04-12T12:23:47Z</dcterms:modified>
  <cp:revision>3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0x0101002F1092503096FB40A944BAFF81CE2FEB</vt:lpwstr>
  </property>
  <property fmtid="{D5CDD505-2E9C-101B-9397-08002B2CF9AE}" pid="3" name="HyperlinksChanged">
    <vt:bool>0</vt:bool>
  </property>
  <property fmtid="{D5CDD505-2E9C-101B-9397-08002B2CF9AE}" pid="4" name="LinksUpToDate">
    <vt:bool>0</vt:bool>
  </property>
  <property fmtid="{D5CDD505-2E9C-101B-9397-08002B2CF9AE}" pid="5" name="ScaleCrop">
    <vt:bool>0</vt:bool>
  </property>
  <property fmtid="{D5CDD505-2E9C-101B-9397-08002B2CF9AE}" pid="6" name="ShareDoc">
    <vt:bool>0</vt:bool>
  </property>
</Properties>
</file>